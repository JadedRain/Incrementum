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<sst xmlns="http://schemas.openxmlformats.org/spreadsheetml/2006/main" count="72" uniqueCount="27">
  <si>
    <t>Chris</t>
  </si>
  <si>
    <t>Nathan</t>
  </si>
  <si>
    <t>Logan</t>
  </si>
  <si>
    <t>Merit Money</t>
  </si>
  <si>
    <t>actual weight</t>
  </si>
  <si>
    <t>Expected</t>
  </si>
  <si>
    <t>Actual</t>
  </si>
  <si>
    <t>% Earned</t>
  </si>
  <si>
    <t>Effort</t>
  </si>
  <si>
    <t>Group Meetings</t>
  </si>
  <si>
    <t>On Time</t>
  </si>
  <si>
    <t>Designs approved</t>
  </si>
  <si>
    <t>Personal Time</t>
  </si>
  <si>
    <t>Quantity</t>
  </si>
  <si>
    <t>% story points complete</t>
  </si>
  <si>
    <t>Assists</t>
  </si>
  <si>
    <t># of Groomed Stories</t>
  </si>
  <si>
    <t>Quality</t>
  </si>
  <si>
    <t>Required Test Cases</t>
  </si>
  <si>
    <t>Clean</t>
  </si>
  <si>
    <t># of Stories Accepted</t>
  </si>
  <si>
    <t># of Refactorings</t>
  </si>
  <si>
    <t>Total</t>
  </si>
  <si>
    <t>points awarded</t>
  </si>
  <si>
    <t>Signature</t>
  </si>
  <si>
    <t>Total Refactorings</t>
  </si>
  <si>
    <t>Total Groomed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</si>
</sst>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&quot;Adobe Ming Std L&quot;"/>
    </font>
    <font>
      <sz val="11.0"/>
      <color rgb="FF000000"/>
      <name val="&quot;Aptos Narrow&quot;"/>
    </font>
    <font>
      <sz val="11.0"/>
      <color rgb="FF000000"/>
      <name val="Arial"/>
    </font>
    <font>
      <b/>
      <i/>
      <sz val="11.0"/>
      <color rgb="FF000000"/>
      <name val="&quot;Adobe Ming Std L&quot;"/>
    </font>
    <font>
      <b/>
      <i/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9" xfId="0" applyAlignment="1" applyFont="1" applyNumberFormat="1">
      <alignment horizontal="right" readingOrder="0" shrinkToFit="0" vertical="bottom" wrapText="0"/>
    </xf>
    <xf borderId="0" fillId="0" fontId="3" numFmtId="10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2" numFmtId="9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0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</row>
    <row r="2">
      <c r="A2" s="3"/>
      <c r="B2" s="3"/>
      <c r="C2" s="3"/>
      <c r="D2" s="3"/>
      <c r="E2" s="3"/>
      <c r="F2" s="3"/>
      <c r="G2" s="2"/>
      <c r="H2" s="4" t="s">
        <v>0</v>
      </c>
      <c r="I2" s="3"/>
      <c r="J2" s="2"/>
      <c r="K2" s="4" t="s">
        <v>1</v>
      </c>
      <c r="L2" s="3"/>
      <c r="M2" s="2"/>
      <c r="N2" s="4" t="s">
        <v>2</v>
      </c>
      <c r="O2" s="3"/>
      <c r="P2" s="2"/>
      <c r="Q2" s="2"/>
    </row>
    <row r="3">
      <c r="A3" s="3"/>
      <c r="B3" s="4" t="s">
        <v>3</v>
      </c>
      <c r="D3" s="3"/>
      <c r="E3" s="3"/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6</v>
      </c>
      <c r="L3" s="4" t="s">
        <v>7</v>
      </c>
      <c r="M3" s="4" t="s">
        <v>5</v>
      </c>
      <c r="N3" s="4" t="s">
        <v>6</v>
      </c>
      <c r="O3" s="4" t="s">
        <v>7</v>
      </c>
      <c r="Q3" s="2"/>
    </row>
    <row r="4">
      <c r="A4" s="3"/>
      <c r="B4" s="3"/>
      <c r="C4" s="4" t="s">
        <v>8</v>
      </c>
      <c r="D4" s="5">
        <v>0.3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r="5">
      <c r="A5" s="3"/>
      <c r="B5" s="3"/>
      <c r="C5" s="3"/>
      <c r="D5" s="4" t="s">
        <v>9</v>
      </c>
      <c r="E5" s="5">
        <v>0.2</v>
      </c>
      <c r="F5" s="6">
        <v>0.06</v>
      </c>
      <c r="G5" s="7">
        <v>5.0</v>
      </c>
      <c r="H5" s="7">
        <v>5.0</v>
      </c>
      <c r="I5" s="6">
        <f t="shared" ref="I5:I8" si="1">IFERROR(H5/G5, 0)*(F5)</f>
        <v>0.06</v>
      </c>
      <c r="J5" s="7">
        <v>5.0</v>
      </c>
      <c r="K5" s="7">
        <v>5.0</v>
      </c>
      <c r="L5" s="6">
        <f t="shared" ref="L5:L8" si="2">IFERROR(K5/J5, 0)*(F5)</f>
        <v>0.06</v>
      </c>
      <c r="M5" s="7">
        <v>5.0</v>
      </c>
      <c r="N5" s="7">
        <v>5.0</v>
      </c>
      <c r="O5" s="6">
        <f t="shared" ref="O5:O8" si="3">IFERROR(N5/M5, 0)*(F5)</f>
        <v>0.06</v>
      </c>
      <c r="P5" s="2"/>
      <c r="Q5" s="2"/>
    </row>
    <row r="6">
      <c r="A6" s="3"/>
      <c r="B6" s="3"/>
      <c r="C6" s="3"/>
      <c r="D6" s="4" t="s">
        <v>10</v>
      </c>
      <c r="E6" s="5">
        <v>0.1</v>
      </c>
      <c r="F6" s="6">
        <v>0.03</v>
      </c>
      <c r="G6" s="7">
        <v>5.0</v>
      </c>
      <c r="H6" s="7">
        <v>4.0</v>
      </c>
      <c r="I6" s="6">
        <f t="shared" si="1"/>
        <v>0.024</v>
      </c>
      <c r="J6" s="7">
        <v>5.0</v>
      </c>
      <c r="K6" s="7">
        <v>5.0</v>
      </c>
      <c r="L6" s="6">
        <f t="shared" si="2"/>
        <v>0.03</v>
      </c>
      <c r="M6" s="7">
        <v>5.0</v>
      </c>
      <c r="N6" s="7">
        <v>5.0</v>
      </c>
      <c r="O6" s="6">
        <f t="shared" si="3"/>
        <v>0.03</v>
      </c>
      <c r="P6" s="2"/>
      <c r="Q6" s="2"/>
    </row>
    <row r="7">
      <c r="A7" s="3"/>
      <c r="B7" s="3"/>
      <c r="C7" s="3"/>
      <c r="D7" s="4" t="s">
        <v>11</v>
      </c>
      <c r="E7" s="5">
        <v>0.2</v>
      </c>
      <c r="F7" s="6">
        <v>0.06</v>
      </c>
      <c r="G7" s="7">
        <v>0.0</v>
      </c>
      <c r="H7" s="7">
        <v>0.0</v>
      </c>
      <c r="I7" s="6">
        <f t="shared" si="1"/>
        <v>0</v>
      </c>
      <c r="J7" s="7">
        <v>0.0</v>
      </c>
      <c r="K7" s="7">
        <v>0.0</v>
      </c>
      <c r="L7" s="6">
        <f t="shared" si="2"/>
        <v>0</v>
      </c>
      <c r="M7" s="7">
        <v>0.0</v>
      </c>
      <c r="N7" s="7">
        <v>0.0</v>
      </c>
      <c r="O7" s="6">
        <f t="shared" si="3"/>
        <v>0</v>
      </c>
      <c r="P7" s="2"/>
      <c r="Q7" s="2"/>
    </row>
    <row r="8">
      <c r="A8" s="3"/>
      <c r="B8" s="3"/>
      <c r="C8" s="3"/>
      <c r="D8" s="4" t="s">
        <v>12</v>
      </c>
      <c r="E8" s="5">
        <v>0.5</v>
      </c>
      <c r="F8" s="6">
        <v>0.15</v>
      </c>
      <c r="G8" s="7">
        <v>12.0</v>
      </c>
      <c r="H8" s="7">
        <v>11.0</v>
      </c>
      <c r="I8" s="6">
        <f t="shared" si="1"/>
        <v>0.1375</v>
      </c>
      <c r="J8" s="7">
        <v>12.0</v>
      </c>
      <c r="K8" s="7">
        <v>11.5</v>
      </c>
      <c r="L8" s="6">
        <f t="shared" si="2"/>
        <v>0.14375</v>
      </c>
      <c r="M8" s="7">
        <v>12.0</v>
      </c>
      <c r="N8" s="7">
        <v>12.0</v>
      </c>
      <c r="O8" s="6">
        <f t="shared" si="3"/>
        <v>0.15</v>
      </c>
      <c r="P8" s="2"/>
      <c r="Q8" s="2"/>
    </row>
    <row r="9">
      <c r="A9" s="3"/>
      <c r="B9" s="3"/>
      <c r="C9" s="4" t="s">
        <v>13</v>
      </c>
      <c r="D9" s="5">
        <v>0.3</v>
      </c>
      <c r="E9" s="3"/>
      <c r="F9" s="3"/>
      <c r="G9" s="3"/>
      <c r="H9" s="3"/>
      <c r="I9" s="6"/>
      <c r="J9" s="3"/>
      <c r="K9" s="3"/>
      <c r="L9" s="6"/>
      <c r="M9" s="3"/>
      <c r="N9" s="3"/>
      <c r="O9" s="6"/>
      <c r="P9" s="2"/>
      <c r="Q9" s="2"/>
    </row>
    <row r="10">
      <c r="A10" s="3"/>
      <c r="B10" s="3"/>
      <c r="C10" s="3"/>
      <c r="D10" s="4" t="s">
        <v>14</v>
      </c>
      <c r="E10" s="5">
        <v>0.9</v>
      </c>
      <c r="F10" s="6">
        <v>0.27</v>
      </c>
      <c r="G10" s="7">
        <v>5.0</v>
      </c>
      <c r="H10" s="7">
        <v>5.0</v>
      </c>
      <c r="I10" s="6">
        <f t="shared" ref="I10:I12" si="4">IFERROR(H10/G10, 0)*(F10)</f>
        <v>0.27</v>
      </c>
      <c r="J10" s="7">
        <v>5.0</v>
      </c>
      <c r="K10" s="7">
        <v>5.0</v>
      </c>
      <c r="L10" s="6">
        <f t="shared" ref="L10:L12" si="5">IFERROR(K10/J10, 0)*(F10)</f>
        <v>0.27</v>
      </c>
      <c r="M10" s="7">
        <v>5.0</v>
      </c>
      <c r="N10" s="7">
        <v>5.0</v>
      </c>
      <c r="O10" s="6">
        <f t="shared" ref="O10:O12" si="6">IFERROR(N10/M10, 0)*(F10)</f>
        <v>0.27</v>
      </c>
      <c r="P10" s="2"/>
      <c r="Q10" s="2"/>
    </row>
    <row r="11">
      <c r="A11" s="3"/>
      <c r="B11" s="3"/>
      <c r="C11" s="3"/>
      <c r="D11" s="4" t="s">
        <v>15</v>
      </c>
      <c r="E11" s="5">
        <v>0.1</v>
      </c>
      <c r="F11" s="6">
        <v>0.03</v>
      </c>
      <c r="G11" s="7">
        <v>3.0</v>
      </c>
      <c r="H11" s="7">
        <v>3.0</v>
      </c>
      <c r="I11" s="6">
        <f t="shared" si="4"/>
        <v>0.03</v>
      </c>
      <c r="J11" s="7">
        <v>3.0</v>
      </c>
      <c r="K11" s="7">
        <v>3.0</v>
      </c>
      <c r="L11" s="6">
        <f t="shared" si="5"/>
        <v>0.03</v>
      </c>
      <c r="M11" s="7">
        <v>3.0</v>
      </c>
      <c r="N11" s="7">
        <v>3.0</v>
      </c>
      <c r="O11" s="6">
        <f t="shared" si="6"/>
        <v>0.03</v>
      </c>
      <c r="P11" s="2"/>
      <c r="Q11" s="2"/>
    </row>
    <row r="12">
      <c r="A12" s="3"/>
      <c r="B12" s="3"/>
      <c r="C12" s="3"/>
      <c r="D12" s="4" t="s">
        <v>16</v>
      </c>
      <c r="E12" s="5"/>
      <c r="F12" s="6">
        <v>0.05</v>
      </c>
      <c r="G12" s="7">
        <v>5.0</v>
      </c>
      <c r="H12" s="7">
        <v>5.0</v>
      </c>
      <c r="I12" s="6">
        <f t="shared" si="4"/>
        <v>0.05</v>
      </c>
      <c r="J12" s="7">
        <v>5.0</v>
      </c>
      <c r="K12" s="7">
        <v>4.0</v>
      </c>
      <c r="L12" s="6">
        <f t="shared" si="5"/>
        <v>0.04</v>
      </c>
      <c r="M12" s="7">
        <v>5.0</v>
      </c>
      <c r="N12" s="7">
        <v>5.0</v>
      </c>
      <c r="O12" s="6">
        <f t="shared" si="6"/>
        <v>0.05</v>
      </c>
      <c r="P12" s="2"/>
      <c r="Q12" s="2"/>
    </row>
    <row r="13">
      <c r="A13" s="3"/>
      <c r="B13" s="3"/>
      <c r="C13" s="4" t="s">
        <v>17</v>
      </c>
      <c r="D13" s="5">
        <v>0.4</v>
      </c>
      <c r="E13" s="3"/>
      <c r="F13" s="3"/>
      <c r="G13" s="3"/>
      <c r="H13" s="3"/>
      <c r="I13" s="6"/>
      <c r="J13" s="3"/>
      <c r="K13" s="3"/>
      <c r="L13" s="6"/>
      <c r="M13" s="3"/>
      <c r="N13" s="3"/>
      <c r="O13" s="6"/>
      <c r="P13" s="2"/>
      <c r="Q13" s="2"/>
    </row>
    <row r="14">
      <c r="A14" s="3"/>
      <c r="B14" s="3"/>
      <c r="C14" s="3"/>
      <c r="D14" s="4" t="s">
        <v>18</v>
      </c>
      <c r="E14" s="5">
        <v>0.6</v>
      </c>
      <c r="F14" s="6">
        <v>0.24</v>
      </c>
      <c r="G14" s="7">
        <v>5.0</v>
      </c>
      <c r="H14" s="7">
        <v>5.0</v>
      </c>
      <c r="I14" s="6">
        <f t="shared" ref="I14:I17" si="7">IFERROR(H14/G14, 0)*(F14)</f>
        <v>0.24</v>
      </c>
      <c r="J14" s="7">
        <v>5.0</v>
      </c>
      <c r="K14" s="7">
        <v>5.0</v>
      </c>
      <c r="L14" s="6">
        <f t="shared" ref="L14:L17" si="8">IFERROR(K14/J14, 0)*(F14)</f>
        <v>0.24</v>
      </c>
      <c r="M14" s="7">
        <v>5.0</v>
      </c>
      <c r="N14" s="7">
        <v>5.0</v>
      </c>
      <c r="O14" s="6">
        <f t="shared" ref="O14:O17" si="9">IFERROR(N14/M14, 0)*(F14)</f>
        <v>0.24</v>
      </c>
      <c r="P14" s="2"/>
      <c r="Q14" s="2"/>
    </row>
    <row r="15">
      <c r="A15" s="3"/>
      <c r="B15" s="3"/>
      <c r="C15" s="3"/>
      <c r="D15" s="4" t="s">
        <v>19</v>
      </c>
      <c r="E15" s="5">
        <v>0.2</v>
      </c>
      <c r="F15" s="6">
        <v>0.08</v>
      </c>
      <c r="G15" s="7">
        <v>5.0</v>
      </c>
      <c r="H15" s="7">
        <v>4.0</v>
      </c>
      <c r="I15" s="6">
        <f t="shared" si="7"/>
        <v>0.064</v>
      </c>
      <c r="J15" s="7">
        <v>5.0</v>
      </c>
      <c r="K15" s="7">
        <v>4.0</v>
      </c>
      <c r="L15" s="6">
        <f t="shared" si="8"/>
        <v>0.064</v>
      </c>
      <c r="M15" s="7">
        <v>5.0</v>
      </c>
      <c r="N15" s="7">
        <v>5.0</v>
      </c>
      <c r="O15" s="6">
        <f t="shared" si="9"/>
        <v>0.08</v>
      </c>
      <c r="P15" s="2"/>
      <c r="Q15" s="2"/>
    </row>
    <row r="16">
      <c r="A16" s="3"/>
      <c r="B16" s="3"/>
      <c r="C16" s="3"/>
      <c r="D16" s="4" t="s">
        <v>20</v>
      </c>
      <c r="E16" s="5">
        <v>0.2</v>
      </c>
      <c r="F16" s="6">
        <v>0.08</v>
      </c>
      <c r="G16" s="7">
        <v>5.0</v>
      </c>
      <c r="H16" s="7">
        <v>5.0</v>
      </c>
      <c r="I16" s="6">
        <f t="shared" si="7"/>
        <v>0.08</v>
      </c>
      <c r="J16" s="7">
        <v>5.0</v>
      </c>
      <c r="K16" s="7">
        <v>5.0</v>
      </c>
      <c r="L16" s="6">
        <f t="shared" si="8"/>
        <v>0.08</v>
      </c>
      <c r="M16" s="7">
        <v>5.0</v>
      </c>
      <c r="N16" s="7">
        <v>5.0</v>
      </c>
      <c r="O16" s="6">
        <f t="shared" si="9"/>
        <v>0.08</v>
      </c>
      <c r="P16" s="2"/>
      <c r="Q16" s="2"/>
    </row>
    <row r="17">
      <c r="A17" s="3"/>
      <c r="B17" s="3"/>
      <c r="C17" s="3"/>
      <c r="D17" s="4" t="s">
        <v>21</v>
      </c>
      <c r="E17" s="5"/>
      <c r="F17" s="6">
        <v>0.1</v>
      </c>
      <c r="G17" s="7">
        <v>5.0</v>
      </c>
      <c r="H17" s="7">
        <v>4.0</v>
      </c>
      <c r="I17" s="6">
        <f t="shared" si="7"/>
        <v>0.08</v>
      </c>
      <c r="J17" s="7">
        <v>5.0</v>
      </c>
      <c r="K17" s="7">
        <v>4.0</v>
      </c>
      <c r="L17" s="6">
        <f t="shared" si="8"/>
        <v>0.08</v>
      </c>
      <c r="M17" s="7">
        <v>5.0</v>
      </c>
      <c r="N17" s="7">
        <v>4.0</v>
      </c>
      <c r="O17" s="6">
        <f t="shared" si="9"/>
        <v>0.08</v>
      </c>
      <c r="P17" s="2"/>
      <c r="Q17" s="2"/>
    </row>
    <row r="18">
      <c r="A18" s="3"/>
      <c r="B18" s="3"/>
      <c r="C18" s="3"/>
      <c r="D18" s="4" t="s">
        <v>22</v>
      </c>
      <c r="E18" s="3"/>
      <c r="F18" s="3"/>
      <c r="G18" s="3"/>
      <c r="H18" s="3"/>
      <c r="I18" s="6">
        <f>SUM(I5:I17)</f>
        <v>1.0355</v>
      </c>
      <c r="J18" s="2"/>
      <c r="K18" s="2"/>
      <c r="L18" s="8">
        <f>SUM(L5:L17)</f>
        <v>1.03775</v>
      </c>
      <c r="M18" s="2"/>
      <c r="N18" s="2"/>
      <c r="O18" s="8">
        <f>SUM(O5:O17)</f>
        <v>1.07</v>
      </c>
      <c r="P18" s="2"/>
      <c r="Q18" s="9">
        <f>AVERAGE(I18,L18,O18)</f>
        <v>1.04775</v>
      </c>
    </row>
    <row r="19">
      <c r="A19" s="3"/>
      <c r="B19" s="3"/>
      <c r="C19" s="3"/>
      <c r="D19" s="4" t="s">
        <v>23</v>
      </c>
      <c r="E19" s="3"/>
      <c r="F19" s="3"/>
      <c r="G19" s="3"/>
      <c r="H19" s="3"/>
      <c r="I19" s="7">
        <f>IFERROR(I18/Q18, 0)*100</f>
        <v>98.83082796</v>
      </c>
      <c r="J19" s="2"/>
      <c r="K19" s="2"/>
      <c r="L19" s="7">
        <f>IFERROR(L18/Q18, 0)*100</f>
        <v>99.04557385</v>
      </c>
      <c r="M19" s="2"/>
      <c r="N19" s="2"/>
      <c r="O19" s="7">
        <f>IFERROR(O18/Q18, 0)*100</f>
        <v>102.1235982</v>
      </c>
      <c r="P19" s="2"/>
      <c r="Q19" s="10">
        <f>SUM(I19,L19,O19)</f>
        <v>300</v>
      </c>
    </row>
    <row r="20">
      <c r="A20" s="3"/>
      <c r="B20" s="3"/>
      <c r="C20" s="3"/>
      <c r="D20" s="3"/>
      <c r="E20" s="3"/>
      <c r="F20" s="3"/>
      <c r="G20" s="3"/>
      <c r="H20" s="3"/>
      <c r="I20" s="3"/>
      <c r="J20" s="2"/>
      <c r="K20" s="2"/>
      <c r="L20" s="2"/>
      <c r="M20" s="2"/>
      <c r="N20" s="2"/>
      <c r="O20" s="2"/>
      <c r="P20" s="2"/>
      <c r="Q20" s="2"/>
    </row>
    <row r="21">
      <c r="A21" s="1"/>
      <c r="B21" s="1"/>
      <c r="C21" s="11" t="s">
        <v>24</v>
      </c>
      <c r="E21" s="1"/>
      <c r="F21" s="1"/>
      <c r="G21" s="1"/>
      <c r="H21" s="12" t="s">
        <v>0</v>
      </c>
      <c r="I21" s="2"/>
      <c r="J21" s="2"/>
      <c r="K21" s="13" t="s">
        <v>1</v>
      </c>
      <c r="L21" s="2"/>
      <c r="M21" s="2"/>
      <c r="N21" s="14" t="s">
        <v>2</v>
      </c>
      <c r="O21" s="2"/>
      <c r="P21" s="2"/>
      <c r="Q21" s="2"/>
    </row>
    <row r="22">
      <c r="A22" s="1"/>
      <c r="B22" s="1"/>
      <c r="C22" s="1"/>
      <c r="D22" s="15" t="s">
        <v>25</v>
      </c>
      <c r="E22" s="1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D23" s="16" t="s">
        <v>26</v>
      </c>
    </row>
  </sheetData>
  <mergeCells count="3">
    <mergeCell ref="B3:C3"/>
    <mergeCell ref="O3:P3"/>
    <mergeCell ref="C21:D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</row>
    <row r="2">
      <c r="A2" s="3"/>
      <c r="B2" s="3"/>
      <c r="C2" s="3"/>
      <c r="D2" s="3"/>
      <c r="E2" s="3"/>
      <c r="F2" s="3"/>
      <c r="G2" s="2"/>
      <c r="H2" s="4" t="s">
        <v>0</v>
      </c>
      <c r="I2" s="3"/>
      <c r="J2" s="2"/>
      <c r="K2" s="4" t="s">
        <v>1</v>
      </c>
      <c r="L2" s="3"/>
      <c r="M2" s="2"/>
      <c r="N2" s="4" t="s">
        <v>2</v>
      </c>
      <c r="O2" s="3"/>
      <c r="P2" s="2"/>
      <c r="Q2" s="2"/>
    </row>
    <row r="3">
      <c r="A3" s="3"/>
      <c r="B3" s="4" t="s">
        <v>3</v>
      </c>
      <c r="D3" s="3"/>
      <c r="E3" s="3"/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6</v>
      </c>
      <c r="L3" s="4" t="s">
        <v>7</v>
      </c>
      <c r="M3" s="4" t="s">
        <v>5</v>
      </c>
      <c r="N3" s="4" t="s">
        <v>6</v>
      </c>
      <c r="O3" s="4" t="s">
        <v>7</v>
      </c>
      <c r="Q3" s="2"/>
    </row>
    <row r="4">
      <c r="A4" s="3"/>
      <c r="B4" s="3"/>
      <c r="C4" s="4" t="s">
        <v>8</v>
      </c>
      <c r="D4" s="5">
        <v>0.3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</row>
    <row r="5">
      <c r="A5" s="3"/>
      <c r="B5" s="3"/>
      <c r="C5" s="3"/>
      <c r="D5" s="4" t="s">
        <v>9</v>
      </c>
      <c r="E5" s="5">
        <v>0.2</v>
      </c>
      <c r="F5" s="6">
        <v>0.06</v>
      </c>
      <c r="G5" s="7">
        <v>5.0</v>
      </c>
      <c r="H5" s="7">
        <v>4.0</v>
      </c>
      <c r="I5" s="6">
        <f t="shared" ref="I5:I8" si="1">IFERROR(H5/G5, 0)*(F5)</f>
        <v>0.048</v>
      </c>
      <c r="J5" s="7">
        <v>5.0</v>
      </c>
      <c r="K5" s="7">
        <v>5.0</v>
      </c>
      <c r="L5" s="6">
        <f t="shared" ref="L5:L8" si="2">IFERROR(K5/J5, 0)*(F5)</f>
        <v>0.06</v>
      </c>
      <c r="M5" s="7">
        <v>5.0</v>
      </c>
      <c r="N5" s="7">
        <v>5.0</v>
      </c>
      <c r="O5" s="6">
        <f t="shared" ref="O5:O8" si="3">IFERROR(N5/M5, 0)*(F5)</f>
        <v>0.06</v>
      </c>
      <c r="P5" s="2"/>
      <c r="Q5" s="2"/>
    </row>
    <row r="6">
      <c r="A6" s="3"/>
      <c r="B6" s="3"/>
      <c r="C6" s="3"/>
      <c r="D6" s="4" t="s">
        <v>10</v>
      </c>
      <c r="E6" s="5">
        <v>0.1</v>
      </c>
      <c r="F6" s="6">
        <v>0.03</v>
      </c>
      <c r="G6" s="7">
        <v>5.0</v>
      </c>
      <c r="H6" s="7">
        <v>5.0</v>
      </c>
      <c r="I6" s="6">
        <f t="shared" si="1"/>
        <v>0.03</v>
      </c>
      <c r="J6" s="7">
        <v>5.0</v>
      </c>
      <c r="K6" s="7">
        <v>5.0</v>
      </c>
      <c r="L6" s="6">
        <f t="shared" si="2"/>
        <v>0.03</v>
      </c>
      <c r="M6" s="7">
        <v>8.0</v>
      </c>
      <c r="N6" s="7">
        <v>5.0</v>
      </c>
      <c r="O6" s="6">
        <f t="shared" si="3"/>
        <v>0.01875</v>
      </c>
      <c r="P6" s="2"/>
      <c r="Q6" s="2"/>
    </row>
    <row r="7">
      <c r="A7" s="3"/>
      <c r="B7" s="3"/>
      <c r="C7" s="3"/>
      <c r="D7" s="4" t="s">
        <v>11</v>
      </c>
      <c r="E7" s="5">
        <v>0.2</v>
      </c>
      <c r="F7" s="6">
        <v>0.06</v>
      </c>
      <c r="G7" s="7"/>
      <c r="H7" s="7"/>
      <c r="I7" s="6">
        <f t="shared" si="1"/>
        <v>0</v>
      </c>
      <c r="J7" s="7"/>
      <c r="K7" s="7"/>
      <c r="L7" s="6">
        <f t="shared" si="2"/>
        <v>0</v>
      </c>
      <c r="M7" s="7"/>
      <c r="N7" s="7"/>
      <c r="O7" s="6">
        <f t="shared" si="3"/>
        <v>0</v>
      </c>
      <c r="P7" s="2"/>
      <c r="Q7" s="2"/>
    </row>
    <row r="8">
      <c r="A8" s="3"/>
      <c r="B8" s="3"/>
      <c r="C8" s="3"/>
      <c r="D8" s="4" t="s">
        <v>12</v>
      </c>
      <c r="E8" s="5">
        <v>0.5</v>
      </c>
      <c r="F8" s="6">
        <v>0.15</v>
      </c>
      <c r="G8" s="7">
        <v>12.0</v>
      </c>
      <c r="H8" s="7">
        <v>11.0</v>
      </c>
      <c r="I8" s="6">
        <f t="shared" si="1"/>
        <v>0.1375</v>
      </c>
      <c r="J8" s="7">
        <v>12.0</v>
      </c>
      <c r="K8" s="7">
        <v>13.0</v>
      </c>
      <c r="L8" s="6">
        <f t="shared" si="2"/>
        <v>0.1625</v>
      </c>
      <c r="M8" s="7">
        <v>12.0</v>
      </c>
      <c r="N8" s="7">
        <v>12.0</v>
      </c>
      <c r="O8" s="6">
        <f t="shared" si="3"/>
        <v>0.15</v>
      </c>
      <c r="P8" s="2"/>
      <c r="Q8" s="2"/>
    </row>
    <row r="9">
      <c r="A9" s="3"/>
      <c r="B9" s="3"/>
      <c r="C9" s="4" t="s">
        <v>13</v>
      </c>
      <c r="D9" s="5">
        <v>0.3</v>
      </c>
      <c r="E9" s="3"/>
      <c r="F9" s="3"/>
      <c r="G9" s="3"/>
      <c r="H9" s="3"/>
      <c r="I9" s="6"/>
      <c r="J9" s="3"/>
      <c r="K9" s="3"/>
      <c r="L9" s="6"/>
      <c r="M9" s="3"/>
      <c r="N9" s="3"/>
      <c r="O9" s="6"/>
      <c r="P9" s="2"/>
      <c r="Q9" s="2"/>
    </row>
    <row r="10">
      <c r="A10" s="3"/>
      <c r="B10" s="3"/>
      <c r="C10" s="3"/>
      <c r="D10" s="4" t="s">
        <v>14</v>
      </c>
      <c r="E10" s="5">
        <v>0.9</v>
      </c>
      <c r="F10" s="6">
        <v>0.27</v>
      </c>
      <c r="G10" s="7">
        <v>4.0</v>
      </c>
      <c r="H10" s="7">
        <v>4.0</v>
      </c>
      <c r="I10" s="6">
        <f t="shared" ref="I10:I12" si="4">IFERROR(H10/G10, 0)*(F10)</f>
        <v>0.27</v>
      </c>
      <c r="J10" s="7">
        <v>5.0</v>
      </c>
      <c r="K10" s="7">
        <v>5.0</v>
      </c>
      <c r="L10" s="6">
        <f t="shared" ref="L10:L12" si="5">IFERROR(K10/J10, 0)*(F10)</f>
        <v>0.27</v>
      </c>
      <c r="M10" s="7">
        <v>4.0</v>
      </c>
      <c r="N10" s="7">
        <v>4.0</v>
      </c>
      <c r="O10" s="6">
        <f t="shared" ref="O10:O12" si="6">IFERROR(N10/M10, 0)*(F10)</f>
        <v>0.27</v>
      </c>
      <c r="P10" s="2"/>
      <c r="Q10" s="2"/>
    </row>
    <row r="11">
      <c r="A11" s="3"/>
      <c r="B11" s="3"/>
      <c r="C11" s="3"/>
      <c r="D11" s="4" t="s">
        <v>15</v>
      </c>
      <c r="E11" s="5">
        <v>0.1</v>
      </c>
      <c r="F11" s="6">
        <v>0.03</v>
      </c>
      <c r="G11" s="7">
        <v>3.0</v>
      </c>
      <c r="H11" s="7">
        <v>3.0</v>
      </c>
      <c r="I11" s="6">
        <f t="shared" si="4"/>
        <v>0.03</v>
      </c>
      <c r="J11" s="7">
        <v>8.0</v>
      </c>
      <c r="K11" s="7">
        <v>3.0</v>
      </c>
      <c r="L11" s="6">
        <f t="shared" si="5"/>
        <v>0.01125</v>
      </c>
      <c r="M11" s="7">
        <v>3.0</v>
      </c>
      <c r="N11" s="7">
        <v>3.0</v>
      </c>
      <c r="O11" s="6">
        <f t="shared" si="6"/>
        <v>0.03</v>
      </c>
      <c r="P11" s="2"/>
      <c r="Q11" s="2"/>
    </row>
    <row r="12">
      <c r="A12" s="3"/>
      <c r="B12" s="3"/>
      <c r="C12" s="3"/>
      <c r="D12" s="4" t="s">
        <v>16</v>
      </c>
      <c r="E12" s="5"/>
      <c r="F12" s="6">
        <v>0.05</v>
      </c>
      <c r="G12" s="7">
        <v>1.0</v>
      </c>
      <c r="H12" s="7">
        <v>1.0</v>
      </c>
      <c r="I12" s="6">
        <f t="shared" si="4"/>
        <v>0.05</v>
      </c>
      <c r="J12" s="7">
        <v>5.0</v>
      </c>
      <c r="K12" s="7">
        <v>2.0</v>
      </c>
      <c r="L12" s="6">
        <f t="shared" si="5"/>
        <v>0.02</v>
      </c>
      <c r="M12" s="7"/>
      <c r="N12" s="7"/>
      <c r="O12" s="6">
        <f t="shared" si="6"/>
        <v>0</v>
      </c>
      <c r="P12" s="2"/>
      <c r="Q12" s="2"/>
    </row>
    <row r="13">
      <c r="A13" s="3"/>
      <c r="B13" s="3"/>
      <c r="C13" s="4" t="s">
        <v>17</v>
      </c>
      <c r="D13" s="5">
        <v>0.4</v>
      </c>
      <c r="E13" s="3"/>
      <c r="F13" s="3"/>
      <c r="G13" s="3"/>
      <c r="H13" s="3"/>
      <c r="I13" s="6"/>
      <c r="J13" s="3"/>
      <c r="K13" s="3"/>
      <c r="L13" s="6"/>
      <c r="M13" s="3"/>
      <c r="N13" s="3"/>
      <c r="O13" s="6"/>
      <c r="P13" s="2"/>
      <c r="Q13" s="2"/>
    </row>
    <row r="14">
      <c r="A14" s="3"/>
      <c r="B14" s="3"/>
      <c r="C14" s="3"/>
      <c r="D14" s="4" t="s">
        <v>18</v>
      </c>
      <c r="E14" s="5">
        <v>0.6</v>
      </c>
      <c r="F14" s="6">
        <v>0.24</v>
      </c>
      <c r="G14" s="7">
        <v>5.0</v>
      </c>
      <c r="H14" s="7">
        <v>5.0</v>
      </c>
      <c r="I14" s="6">
        <f t="shared" ref="I14:I17" si="7">IFERROR(H14/G14, 0)*(F14)</f>
        <v>0.24</v>
      </c>
      <c r="J14" s="7">
        <v>5.0</v>
      </c>
      <c r="K14" s="7">
        <v>5.0</v>
      </c>
      <c r="L14" s="6">
        <f t="shared" ref="L14:L17" si="8">IFERROR(K14/J14, 0)*(F14)</f>
        <v>0.24</v>
      </c>
      <c r="M14" s="7">
        <v>5.0</v>
      </c>
      <c r="N14" s="7">
        <v>5.0</v>
      </c>
      <c r="O14" s="6">
        <f t="shared" ref="O14:O17" si="9">IFERROR(N14/M14, 0)*(F14)</f>
        <v>0.24</v>
      </c>
      <c r="P14" s="2"/>
      <c r="Q14" s="2"/>
    </row>
    <row r="15">
      <c r="A15" s="3"/>
      <c r="B15" s="3"/>
      <c r="C15" s="3"/>
      <c r="D15" s="4" t="s">
        <v>19</v>
      </c>
      <c r="E15" s="5">
        <v>0.2</v>
      </c>
      <c r="F15" s="6">
        <v>0.08</v>
      </c>
      <c r="G15" s="7">
        <v>5.0</v>
      </c>
      <c r="H15" s="7">
        <v>5.0</v>
      </c>
      <c r="I15" s="6">
        <f t="shared" si="7"/>
        <v>0.08</v>
      </c>
      <c r="J15" s="7">
        <v>5.0</v>
      </c>
      <c r="K15" s="7">
        <v>2.0</v>
      </c>
      <c r="L15" s="6">
        <f t="shared" si="8"/>
        <v>0.032</v>
      </c>
      <c r="M15" s="7">
        <v>5.0</v>
      </c>
      <c r="N15" s="7">
        <v>5.0</v>
      </c>
      <c r="O15" s="6">
        <f t="shared" si="9"/>
        <v>0.08</v>
      </c>
      <c r="P15" s="2"/>
      <c r="Q15" s="2"/>
    </row>
    <row r="16">
      <c r="A16" s="3"/>
      <c r="B16" s="3"/>
      <c r="C16" s="3"/>
      <c r="D16" s="4" t="s">
        <v>20</v>
      </c>
      <c r="E16" s="5">
        <v>0.2</v>
      </c>
      <c r="F16" s="6">
        <v>0.08</v>
      </c>
      <c r="G16" s="7">
        <v>8.0</v>
      </c>
      <c r="H16" s="7">
        <v>5.0</v>
      </c>
      <c r="I16" s="6">
        <f t="shared" si="7"/>
        <v>0.05</v>
      </c>
      <c r="J16" s="7">
        <v>5.0</v>
      </c>
      <c r="K16" s="7">
        <v>3.0</v>
      </c>
      <c r="L16" s="6">
        <f t="shared" si="8"/>
        <v>0.048</v>
      </c>
      <c r="M16" s="7">
        <v>5.0</v>
      </c>
      <c r="N16" s="7">
        <v>5.0</v>
      </c>
      <c r="O16" s="6">
        <f t="shared" si="9"/>
        <v>0.08</v>
      </c>
      <c r="P16" s="2"/>
      <c r="Q16" s="2"/>
    </row>
    <row r="17">
      <c r="A17" s="3"/>
      <c r="B17" s="3"/>
      <c r="C17" s="3"/>
      <c r="D17" s="4" t="s">
        <v>21</v>
      </c>
      <c r="E17" s="5"/>
      <c r="F17" s="6">
        <v>0.1</v>
      </c>
      <c r="G17" s="7">
        <v>5.0</v>
      </c>
      <c r="H17" s="7">
        <v>5.0</v>
      </c>
      <c r="I17" s="6">
        <f t="shared" si="7"/>
        <v>0.1</v>
      </c>
      <c r="J17" s="7">
        <v>5.0</v>
      </c>
      <c r="K17" s="7">
        <v>5.0</v>
      </c>
      <c r="L17" s="6">
        <f t="shared" si="8"/>
        <v>0.1</v>
      </c>
      <c r="M17" s="7">
        <v>5.0</v>
      </c>
      <c r="N17" s="7">
        <v>5.0</v>
      </c>
      <c r="O17" s="6">
        <f t="shared" si="9"/>
        <v>0.1</v>
      </c>
      <c r="P17" s="2"/>
      <c r="Q17" s="2"/>
    </row>
    <row r="18">
      <c r="A18" s="3"/>
      <c r="B18" s="3"/>
      <c r="C18" s="3"/>
      <c r="D18" s="4" t="s">
        <v>22</v>
      </c>
      <c r="E18" s="3"/>
      <c r="F18" s="3"/>
      <c r="G18" s="3"/>
      <c r="H18" s="3"/>
      <c r="I18" s="6">
        <f>SUM(I5:I17)</f>
        <v>1.0355</v>
      </c>
      <c r="J18" s="2"/>
      <c r="K18" s="2"/>
      <c r="L18" s="8">
        <f>SUM(L5:L17)</f>
        <v>0.97375</v>
      </c>
      <c r="M18" s="2"/>
      <c r="N18" s="2"/>
      <c r="O18" s="8">
        <f>SUM(O5:O17)</f>
        <v>1.02875</v>
      </c>
      <c r="P18" s="2"/>
      <c r="Q18" s="9">
        <f>AVERAGE(I18,L18,O18)</f>
        <v>1.012666667</v>
      </c>
    </row>
    <row r="19">
      <c r="A19" s="3"/>
      <c r="B19" s="3"/>
      <c r="C19" s="3"/>
      <c r="D19" s="4" t="s">
        <v>23</v>
      </c>
      <c r="E19" s="3"/>
      <c r="F19" s="3"/>
      <c r="G19" s="3"/>
      <c r="H19" s="3"/>
      <c r="I19" s="7">
        <f>IFERROR(I18/Q18, 0)*100</f>
        <v>102.2547729</v>
      </c>
      <c r="J19" s="2"/>
      <c r="K19" s="2"/>
      <c r="L19" s="7">
        <f>IFERROR(L18/Q18, 0)*100</f>
        <v>96.15701119</v>
      </c>
      <c r="M19" s="2"/>
      <c r="N19" s="2"/>
      <c r="O19" s="7">
        <f>IFERROR(O18/Q18, 0)*100</f>
        <v>101.5882159</v>
      </c>
      <c r="P19" s="2"/>
      <c r="Q19" s="10">
        <f>SUM(I19,L19,O19)</f>
        <v>300</v>
      </c>
    </row>
    <row r="20">
      <c r="A20" s="3"/>
      <c r="B20" s="3"/>
      <c r="C20" s="3"/>
      <c r="D20" s="3"/>
      <c r="E20" s="3"/>
      <c r="F20" s="3"/>
      <c r="G20" s="3"/>
      <c r="H20" s="3"/>
      <c r="I20" s="3"/>
      <c r="J20" s="2"/>
      <c r="K20" s="2"/>
      <c r="L20" s="2"/>
      <c r="M20" s="2"/>
      <c r="N20" s="2"/>
      <c r="O20" s="2"/>
      <c r="P20" s="2"/>
      <c r="Q20" s="2"/>
    </row>
    <row r="21">
      <c r="A21" s="1"/>
      <c r="B21" s="1"/>
      <c r="C21" s="11" t="s">
        <v>24</v>
      </c>
      <c r="E21" s="1"/>
      <c r="F21" s="1"/>
      <c r="G21" s="1"/>
      <c r="H21" s="12" t="s">
        <v>0</v>
      </c>
      <c r="I21" s="2"/>
      <c r="J21" s="2"/>
      <c r="K21" s="13" t="s">
        <v>1</v>
      </c>
      <c r="L21" s="2"/>
      <c r="M21" s="2"/>
      <c r="N21" s="14" t="s">
        <v>2</v>
      </c>
      <c r="O21" s="2"/>
      <c r="P21" s="2"/>
      <c r="Q21" s="2"/>
    </row>
    <row r="22">
      <c r="A22" s="1"/>
      <c r="B22" s="1"/>
      <c r="C22" s="1"/>
      <c r="D22" s="15" t="s">
        <v>25</v>
      </c>
      <c r="E22" s="1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</row>
    <row r="23">
      <c r="D23" s="16" t="s">
        <v>26</v>
      </c>
    </row>
    <row r="25">
      <c r="K25" s="16">
        <v>99.80501686340642</v>
      </c>
      <c r="L25" s="16">
        <v>101.54405564924116</v>
      </c>
      <c r="M25" s="16">
        <v>98.65092748735246</v>
      </c>
    </row>
    <row r="26">
      <c r="O26" s="16">
        <v>91.91044375921705</v>
      </c>
      <c r="P26" s="16">
        <v>100.9438262501676</v>
      </c>
      <c r="Q26" s="16">
        <v>107.14572999061535</v>
      </c>
    </row>
    <row r="27">
      <c r="K27" s="16">
        <v>99.95617992009278</v>
      </c>
      <c r="L27" s="16">
        <v>97.04085578038408</v>
      </c>
      <c r="M27" s="16">
        <v>103.00296429952314</v>
      </c>
    </row>
    <row r="30">
      <c r="L30" s="16">
        <v>102.25477287689269</v>
      </c>
      <c r="M30" s="16">
        <v>96.15701119157339</v>
      </c>
      <c r="N30" s="16">
        <v>101.58821593153388</v>
      </c>
    </row>
  </sheetData>
  <mergeCells count="3">
    <mergeCell ref="B3:C3"/>
    <mergeCell ref="O3:P3"/>
    <mergeCell ref="C21:D21"/>
  </mergeCells>
  <drawing r:id="rId1"/>
</worksheet>
</file>