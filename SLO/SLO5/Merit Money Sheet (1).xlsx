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cAHICd3HDLwG5lvOOsBBSC6+x5dLrZD6DbBHzfYi/s="/>
    </ext>
  </extLst>
</workbook>
</file>

<file path=xl/sharedStrings.xml><?xml version="1.0" encoding="utf-8"?>
<sst xmlns="http://schemas.openxmlformats.org/spreadsheetml/2006/main" count="40" uniqueCount="25">
  <si>
    <t>Meeting 1</t>
  </si>
  <si>
    <t>Meeting 2</t>
  </si>
  <si>
    <t>Meeting 3</t>
  </si>
  <si>
    <t>Meeting 4</t>
  </si>
  <si>
    <t>Meeting 5</t>
  </si>
  <si>
    <t>Meeting 6</t>
  </si>
  <si>
    <t>Points Earned</t>
  </si>
  <si>
    <t>Total Possible</t>
  </si>
  <si>
    <t>Chris:</t>
  </si>
  <si>
    <t>Story Completed</t>
  </si>
  <si>
    <t>Time Taken</t>
  </si>
  <si>
    <t>(Scale of 0 to 2. 0 = miss 1 = late 2 = on time)</t>
  </si>
  <si>
    <t>Attendance</t>
  </si>
  <si>
    <t>Story Accepted</t>
  </si>
  <si>
    <t>(On a scale of 1 to 5)</t>
  </si>
  <si>
    <t>Code Quality</t>
  </si>
  <si>
    <t>Logan:</t>
  </si>
  <si>
    <t>(Scale of 1 to 3. 0 = miss 1 = late 2 = on time)</t>
  </si>
  <si>
    <t>Nathan:</t>
  </si>
  <si>
    <t>(Assuming that we have already accounted for the 6 meetings</t>
  </si>
  <si>
    <t>(Scale of 1 to 3. 1 = miss 2 = late 3 = on time)</t>
  </si>
  <si>
    <t>Total Points Allocated:</t>
  </si>
  <si>
    <t>Summary</t>
  </si>
  <si>
    <t>Ratio</t>
  </si>
  <si>
    <t>Merit Money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</si>
</sst>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2" fontId="2" numFmtId="0" xfId="0" applyAlignment="1" applyFont="1">
      <alignment readingOrder="0"/>
    </xf>
    <xf borderId="0" fillId="5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48.38"/>
    <col customWidth="1" min="5" max="5" width="16.13"/>
    <col customWidth="1" min="6" max="6" width="14.0"/>
    <col customWidth="1" min="7" max="7" width="13.38"/>
    <col customWidth="1" min="8" max="8" width="12.88"/>
    <col customWidth="1" min="9" max="9" width="12.38"/>
    <col customWidth="1" min="10" max="10" width="11.75"/>
    <col customWidth="1" min="11" max="11" width="13.63"/>
    <col customWidth="1" min="12" max="12" width="19.63"/>
    <col customWidth="1" min="13" max="13" width="13.88"/>
    <col customWidth="1" min="14" max="26" width="8.63"/>
  </cols>
  <sheetData>
    <row r="2"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</row>
    <row r="3">
      <c r="F3" s="1"/>
      <c r="G3" s="1"/>
      <c r="H3" s="1"/>
      <c r="I3" s="1"/>
      <c r="J3" s="1"/>
      <c r="K3" s="1"/>
      <c r="L3" s="2" t="s">
        <v>6</v>
      </c>
      <c r="M3" s="2" t="s">
        <v>7</v>
      </c>
    </row>
    <row r="4">
      <c r="D4" s="3" t="s">
        <v>8</v>
      </c>
      <c r="E4" s="3" t="s">
        <v>9</v>
      </c>
      <c r="F4" s="4">
        <v>0.0</v>
      </c>
      <c r="G4" s="4">
        <v>2.0</v>
      </c>
      <c r="H4" s="4">
        <v>1.0</v>
      </c>
      <c r="I4" s="4">
        <v>1.0</v>
      </c>
      <c r="J4" s="4">
        <v>1.0</v>
      </c>
      <c r="K4" s="1"/>
      <c r="L4" s="2">
        <f> SUM(F4:K4)</f>
        <v>5</v>
      </c>
      <c r="M4" s="2">
        <f>1 * COUNTIF(F4:K4, "&lt;&gt;")</f>
        <v>5</v>
      </c>
    </row>
    <row r="5">
      <c r="D5" s="3"/>
      <c r="E5" s="3" t="s">
        <v>10</v>
      </c>
      <c r="F5" s="4">
        <v>1.0</v>
      </c>
      <c r="G5" s="4">
        <v>1.5</v>
      </c>
      <c r="H5" s="4">
        <v>1.25</v>
      </c>
      <c r="I5" s="4">
        <v>1.0</v>
      </c>
      <c r="J5" s="4">
        <v>1.0</v>
      </c>
      <c r="K5" s="1"/>
      <c r="L5" s="2">
        <f>SUM(F5:K5)</f>
        <v>5.75</v>
      </c>
      <c r="M5" s="2">
        <f>1.5 * COUNTIF(F5:K5, "&lt;&gt;")</f>
        <v>7.5</v>
      </c>
    </row>
    <row r="6">
      <c r="D6" s="3" t="s">
        <v>11</v>
      </c>
      <c r="E6" s="3" t="s">
        <v>12</v>
      </c>
      <c r="F6" s="4">
        <v>1.0</v>
      </c>
      <c r="G6" s="4">
        <v>2.0</v>
      </c>
      <c r="H6" s="4">
        <v>2.0</v>
      </c>
      <c r="I6" s="4">
        <v>2.0</v>
      </c>
      <c r="J6" s="4">
        <v>2.0</v>
      </c>
      <c r="K6" s="1"/>
      <c r="L6" s="2">
        <f t="shared" ref="L6:L8" si="1"> SUM(F6:K6)</f>
        <v>9</v>
      </c>
      <c r="M6" s="2">
        <f>2 * COUNTIF(F6:K6, "&lt;&gt;")</f>
        <v>10</v>
      </c>
    </row>
    <row r="7">
      <c r="D7" s="3"/>
      <c r="E7" s="3" t="s">
        <v>13</v>
      </c>
      <c r="F7" s="4">
        <v>0.0</v>
      </c>
      <c r="G7" s="4">
        <v>2.0</v>
      </c>
      <c r="H7" s="4">
        <v>1.0</v>
      </c>
      <c r="I7" s="4">
        <v>1.0</v>
      </c>
      <c r="J7" s="4">
        <v>1.0</v>
      </c>
      <c r="K7" s="1"/>
      <c r="L7" s="2">
        <f t="shared" si="1"/>
        <v>5</v>
      </c>
      <c r="M7" s="2">
        <f>1 * COUNTIF(F7:K7, "&lt;&gt;")</f>
        <v>5</v>
      </c>
    </row>
    <row r="8">
      <c r="D8" s="3" t="s">
        <v>14</v>
      </c>
      <c r="E8" s="3" t="s">
        <v>15</v>
      </c>
      <c r="F8" s="4">
        <v>3.0</v>
      </c>
      <c r="G8" s="4">
        <v>4.0</v>
      </c>
      <c r="H8" s="4">
        <v>4.0</v>
      </c>
      <c r="I8" s="4">
        <v>3.5</v>
      </c>
      <c r="J8" s="4">
        <v>4.0</v>
      </c>
      <c r="K8" s="1"/>
      <c r="L8" s="2">
        <f t="shared" si="1"/>
        <v>18.5</v>
      </c>
      <c r="M8" s="2">
        <f>5 * COUNTIF(F8:K8, "&lt;&gt;")</f>
        <v>25</v>
      </c>
    </row>
    <row r="9">
      <c r="D9" s="3"/>
      <c r="E9" s="3"/>
      <c r="F9" s="1"/>
      <c r="G9" s="1"/>
      <c r="H9" s="1"/>
      <c r="I9" s="1"/>
      <c r="J9" s="1"/>
      <c r="K9" s="1"/>
      <c r="L9" s="2"/>
      <c r="M9" s="2"/>
    </row>
    <row r="10">
      <c r="D10" s="3" t="s">
        <v>16</v>
      </c>
      <c r="E10" s="3" t="s">
        <v>9</v>
      </c>
      <c r="F10" s="4">
        <v>1.0</v>
      </c>
      <c r="G10" s="4">
        <v>1.0</v>
      </c>
      <c r="H10" s="4">
        <v>1.0</v>
      </c>
      <c r="I10" s="4">
        <v>1.0</v>
      </c>
      <c r="J10" s="4">
        <v>1.0</v>
      </c>
      <c r="K10" s="1"/>
      <c r="L10" s="2">
        <f t="shared" ref="L10:L14" si="2"> SUM(F10:K10)</f>
        <v>5</v>
      </c>
      <c r="M10" s="2">
        <f>1 * COUNTIF(F10:K10, "&lt;&gt;")</f>
        <v>5</v>
      </c>
    </row>
    <row r="11">
      <c r="D11" s="3"/>
      <c r="E11" s="3" t="s">
        <v>10</v>
      </c>
      <c r="F11" s="4">
        <v>1.25</v>
      </c>
      <c r="G11" s="4">
        <v>1.5</v>
      </c>
      <c r="H11" s="4">
        <v>1.25</v>
      </c>
      <c r="I11" s="4">
        <v>2.5</v>
      </c>
      <c r="J11" s="4">
        <v>0.5</v>
      </c>
      <c r="K11" s="1"/>
      <c r="L11" s="2">
        <f t="shared" si="2"/>
        <v>7</v>
      </c>
      <c r="M11" s="2">
        <f>1.5 * COUNTIF(F11:K11, "&lt;&gt;")</f>
        <v>7.5</v>
      </c>
    </row>
    <row r="12">
      <c r="D12" s="3" t="s">
        <v>17</v>
      </c>
      <c r="E12" s="3" t="s">
        <v>12</v>
      </c>
      <c r="F12" s="4">
        <v>2.0</v>
      </c>
      <c r="G12" s="4">
        <v>2.0</v>
      </c>
      <c r="H12" s="4">
        <v>1.0</v>
      </c>
      <c r="I12" s="4">
        <v>2.0</v>
      </c>
      <c r="J12" s="4">
        <v>2.0</v>
      </c>
      <c r="K12" s="1"/>
      <c r="L12" s="2">
        <f t="shared" si="2"/>
        <v>9</v>
      </c>
      <c r="M12" s="2">
        <f>2 * COUNTIF(F12:K12, "&lt;&gt;")</f>
        <v>10</v>
      </c>
    </row>
    <row r="13">
      <c r="D13" s="3"/>
      <c r="E13" s="3" t="s">
        <v>13</v>
      </c>
      <c r="F13" s="4">
        <v>1.0</v>
      </c>
      <c r="G13" s="4">
        <v>1.0</v>
      </c>
      <c r="H13" s="4">
        <v>1.0</v>
      </c>
      <c r="I13" s="4">
        <v>1.0</v>
      </c>
      <c r="J13" s="4">
        <v>1.0</v>
      </c>
      <c r="K13" s="1"/>
      <c r="L13" s="2">
        <f t="shared" si="2"/>
        <v>5</v>
      </c>
      <c r="M13" s="2">
        <f>1 * COUNTIF(F13:K13, "&lt;&gt;")</f>
        <v>5</v>
      </c>
    </row>
    <row r="14">
      <c r="D14" s="3" t="s">
        <v>14</v>
      </c>
      <c r="E14" s="3" t="s">
        <v>15</v>
      </c>
      <c r="F14" s="4">
        <v>4.0</v>
      </c>
      <c r="G14" s="4">
        <v>4.0</v>
      </c>
      <c r="H14" s="4">
        <v>4.0</v>
      </c>
      <c r="I14" s="4">
        <v>4.0</v>
      </c>
      <c r="J14" s="4">
        <v>4.0</v>
      </c>
      <c r="K14" s="1"/>
      <c r="L14" s="2">
        <f t="shared" si="2"/>
        <v>20</v>
      </c>
      <c r="M14" s="2">
        <f>5 * COUNTIF(F14:K14, "&lt;&gt;")</f>
        <v>25</v>
      </c>
    </row>
    <row r="15">
      <c r="D15" s="3"/>
      <c r="E15" s="3"/>
      <c r="F15" s="1"/>
      <c r="G15" s="1"/>
      <c r="H15" s="1"/>
      <c r="I15" s="1"/>
      <c r="J15" s="1"/>
      <c r="K15" s="1"/>
      <c r="L15" s="2"/>
      <c r="M15" s="2"/>
    </row>
    <row r="16">
      <c r="D16" s="3" t="s">
        <v>18</v>
      </c>
      <c r="E16" s="3" t="s">
        <v>9</v>
      </c>
      <c r="F16" s="4">
        <v>1.0</v>
      </c>
      <c r="G16" s="4">
        <v>2.0</v>
      </c>
      <c r="H16" s="4">
        <v>1.0</v>
      </c>
      <c r="I16" s="4">
        <v>1.0</v>
      </c>
      <c r="J16" s="4">
        <v>0.0</v>
      </c>
      <c r="K16" s="1"/>
      <c r="L16" s="2">
        <f t="shared" ref="L16:L20" si="3"> SUM(F16:K16)</f>
        <v>5</v>
      </c>
      <c r="M16" s="2">
        <f>1 * COUNTIF(F16:K16, "&lt;&gt;")</f>
        <v>5</v>
      </c>
    </row>
    <row r="17" ht="16.5" customHeight="1">
      <c r="D17" s="3" t="s">
        <v>19</v>
      </c>
      <c r="E17" s="3" t="s">
        <v>10</v>
      </c>
      <c r="F17" s="4">
        <v>1.0</v>
      </c>
      <c r="G17" s="4">
        <v>1.5</v>
      </c>
      <c r="H17" s="4">
        <v>1.0</v>
      </c>
      <c r="I17" s="4">
        <v>0.5</v>
      </c>
      <c r="J17" s="4">
        <v>1.5</v>
      </c>
      <c r="K17" s="1"/>
      <c r="L17" s="2">
        <f t="shared" si="3"/>
        <v>5.5</v>
      </c>
      <c r="M17" s="2">
        <f>1.5 * COUNTIF(F17:K17, "&lt;&gt;")</f>
        <v>7.5</v>
      </c>
    </row>
    <row r="18">
      <c r="D18" s="3" t="s">
        <v>20</v>
      </c>
      <c r="E18" s="3" t="s">
        <v>12</v>
      </c>
      <c r="F18" s="4">
        <v>1.0</v>
      </c>
      <c r="G18" s="4">
        <v>2.0</v>
      </c>
      <c r="H18" s="4">
        <v>1.0</v>
      </c>
      <c r="I18" s="4">
        <v>2.0</v>
      </c>
      <c r="J18" s="4">
        <v>2.0</v>
      </c>
      <c r="K18" s="1"/>
      <c r="L18" s="2">
        <f t="shared" si="3"/>
        <v>8</v>
      </c>
      <c r="M18" s="2">
        <f>2 * COUNTIF(F18:K18, "&lt;&gt;")</f>
        <v>10</v>
      </c>
    </row>
    <row r="19">
      <c r="D19" s="3"/>
      <c r="E19" s="3" t="s">
        <v>13</v>
      </c>
      <c r="F19" s="4">
        <v>1.0</v>
      </c>
      <c r="G19" s="4">
        <v>1.0</v>
      </c>
      <c r="H19" s="4">
        <v>1.0</v>
      </c>
      <c r="I19" s="4">
        <v>1.0</v>
      </c>
      <c r="J19" s="4">
        <v>0.0</v>
      </c>
      <c r="K19" s="1"/>
      <c r="L19" s="2">
        <f t="shared" si="3"/>
        <v>4</v>
      </c>
      <c r="M19" s="2">
        <f>1 * COUNTIF(F19:K19, "&lt;&gt;")</f>
        <v>5</v>
      </c>
    </row>
    <row r="20">
      <c r="D20" s="3" t="s">
        <v>14</v>
      </c>
      <c r="E20" s="3" t="s">
        <v>15</v>
      </c>
      <c r="F20" s="4">
        <v>4.0</v>
      </c>
      <c r="G20" s="4">
        <v>4.0</v>
      </c>
      <c r="H20" s="4">
        <v>3.0</v>
      </c>
      <c r="I20" s="4">
        <v>4.0</v>
      </c>
      <c r="J20" s="4">
        <v>4.0</v>
      </c>
      <c r="K20" s="1"/>
      <c r="L20" s="2">
        <f t="shared" si="3"/>
        <v>19</v>
      </c>
      <c r="M20" s="2">
        <f>5 * COUNTIF(F20:K20, "&lt;&gt;")</f>
        <v>25</v>
      </c>
    </row>
    <row r="21" ht="15.75" customHeight="1">
      <c r="L21" s="2" t="s">
        <v>21</v>
      </c>
      <c r="M21" s="2">
        <f>SUM(M4:M20)</f>
        <v>157.5</v>
      </c>
    </row>
    <row r="22" ht="15.75" customHeight="1"/>
    <row r="23" ht="15.75" customHeight="1">
      <c r="K23" s="5" t="s">
        <v>22</v>
      </c>
      <c r="L23" s="5" t="s">
        <v>23</v>
      </c>
      <c r="M23" s="5" t="s">
        <v>24</v>
      </c>
    </row>
    <row r="24" ht="15.75" customHeight="1">
      <c r="K24" s="5" t="s">
        <v>8</v>
      </c>
      <c r="L24" s="5">
        <f> SUM(L4:L8) / M21</f>
        <v>0.2746031746</v>
      </c>
      <c r="M24" s="5">
        <f>(L24 / L27) * 300</f>
        <v>99.23518164</v>
      </c>
    </row>
    <row r="25" ht="15.75" customHeight="1">
      <c r="K25" s="5" t="s">
        <v>16</v>
      </c>
      <c r="L25" s="5">
        <f>SUM(L10:L14) / M21</f>
        <v>0.2920634921</v>
      </c>
      <c r="M25" s="5">
        <f>(L25 / L27) * 300</f>
        <v>105.5449331</v>
      </c>
    </row>
    <row r="26" ht="15.75" customHeight="1">
      <c r="K26" s="5" t="s">
        <v>18</v>
      </c>
      <c r="L26" s="5">
        <f>SUM(L16:L20) / M21</f>
        <v>0.2634920635</v>
      </c>
      <c r="M26" s="5">
        <f>(L26 / L27) * 300</f>
        <v>95.21988528</v>
      </c>
    </row>
    <row r="27" ht="15.75" customHeight="1">
      <c r="K27" s="5"/>
      <c r="L27" s="5">
        <f t="shared" ref="L27:M27" si="4">SUM(L24:L26)</f>
        <v>0.8301587302</v>
      </c>
      <c r="M27" s="5">
        <f t="shared" si="4"/>
        <v>300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2026-04-01T03:17:44Z</dcterms:created>
  <dc:creator>Christopher Young</dc:creator>
</cp:coreProperties>
</file>